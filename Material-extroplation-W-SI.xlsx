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FA7D63AF-9ED1-49A4-8B3B-C74D3AE172CD}" xr6:coauthVersionLast="47" xr6:coauthVersionMax="47" xr10:uidLastSave="{00000000-0000-0000-0000-000000000000}"/>
  <bookViews>
    <workbookView minimized="1" xWindow="1032" yWindow="2544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" i="1"/>
  <c r="I14" i="1"/>
  <c r="I11" i="1"/>
  <c r="I28" i="1"/>
  <c r="I7" i="1"/>
  <c r="I15" i="1"/>
  <c r="I2" i="1"/>
  <c r="I4" i="1"/>
  <c r="I18" i="1"/>
  <c r="I13" i="1"/>
  <c r="I6" i="1"/>
  <c r="I17" i="1"/>
  <c r="I24" i="1"/>
  <c r="I16" i="1"/>
  <c r="I27" i="1"/>
  <c r="I22" i="1"/>
  <c r="I19" i="1"/>
  <c r="I9" i="1"/>
  <c r="I10" i="1"/>
  <c r="I26" i="1"/>
  <c r="I5" i="1"/>
  <c r="I3" i="1"/>
  <c r="I8" i="1"/>
  <c r="I23" i="1"/>
  <c r="I20" i="1"/>
  <c r="I25" i="1"/>
  <c r="I21" i="1"/>
  <c r="I12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<sst xmlns="http://schemas.openxmlformats.org/spreadsheetml/2006/main" count="8" uniqueCount="8">
  <si>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</si>
  <si>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</si>
  <si>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</si>
  <si>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</si>
  <si>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</si>
  <si>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</si>
  <si>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max4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</si>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</sst>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P28"/>
  <sheetViews>
    <sheetView tabSelected="1" workbookViewId="0">
      <selection activeCell="P1" sqref="P1:P1048576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L1" t="s">
        <v>6</v>
      </c>
      <c r="N1" t="s">
        <v>7</v>
      </c>
    </row>
    <row r="2" spans="1:16" x14ac:dyDescent="0.25">
      <c r="A2">
        <v>14</v>
      </c>
      <c r="B2">
        <v>25</v>
      </c>
      <c r="C2">
        <v>4</v>
      </c>
      <c r="D2">
        <v>71.0572509765625</v>
      </c>
      <c r="E2">
        <v>66.520268131056994</v>
      </c>
      <c r="G2">
        <v>71.014430937934506</v>
      </c>
      <c r="I2">
        <f t="shared" ref="I2:I28" si="0">ABS(G2-D2)</f>
        <v>4.2820038627993995E-2</v>
      </c>
      <c r="L2">
        <v>71.018298054156901</v>
      </c>
      <c r="N2">
        <v>70.851088189470801</v>
      </c>
      <c r="P2">
        <f>ABS(N2-D2)/D2</f>
        <v>2.9013617084581557E-3</v>
      </c>
    </row>
    <row r="3" spans="1:16" x14ac:dyDescent="0.25">
      <c r="A3">
        <v>14</v>
      </c>
      <c r="B3">
        <v>25</v>
      </c>
      <c r="C3">
        <v>5</v>
      </c>
      <c r="D3">
        <v>71.040145874023395</v>
      </c>
      <c r="E3">
        <v>66.397687736080002</v>
      </c>
      <c r="G3">
        <v>70.993032265052307</v>
      </c>
      <c r="I3">
        <f t="shared" si="0"/>
        <v>4.7113608971088183E-2</v>
      </c>
      <c r="L3">
        <v>70.987335967225803</v>
      </c>
      <c r="N3">
        <v>70.856995975938304</v>
      </c>
      <c r="P3">
        <f t="shared" ref="P3:P28" si="1">ABS(N3-D3)/D3</f>
        <v>2.5781182714612319E-3</v>
      </c>
    </row>
    <row r="4" spans="1:16" x14ac:dyDescent="0.25">
      <c r="A4">
        <v>14</v>
      </c>
      <c r="B4">
        <v>25</v>
      </c>
      <c r="C4">
        <v>6</v>
      </c>
      <c r="D4">
        <v>71.021034240722599</v>
      </c>
      <c r="E4">
        <v>66.241675518329103</v>
      </c>
      <c r="G4">
        <v>70.953725191652396</v>
      </c>
      <c r="I4">
        <f t="shared" si="0"/>
        <v>6.7309049070203741E-2</v>
      </c>
      <c r="L4">
        <v>70.930859086733506</v>
      </c>
      <c r="N4">
        <v>70.867105328954906</v>
      </c>
      <c r="P4">
        <f t="shared" si="1"/>
        <v>2.1673707432358397E-3</v>
      </c>
    </row>
    <row r="5" spans="1:16" x14ac:dyDescent="0.25">
      <c r="A5">
        <v>14</v>
      </c>
      <c r="B5">
        <v>20</v>
      </c>
      <c r="C5">
        <v>4</v>
      </c>
      <c r="D5">
        <v>71.062019348144503</v>
      </c>
      <c r="E5">
        <v>66.565394319698001</v>
      </c>
      <c r="G5">
        <v>70.993032265052307</v>
      </c>
      <c r="I5">
        <f t="shared" si="0"/>
        <v>6.8987083092196144E-2</v>
      </c>
      <c r="L5">
        <v>70.987335967225803</v>
      </c>
      <c r="N5">
        <v>70.856995975938304</v>
      </c>
      <c r="P5">
        <f t="shared" si="1"/>
        <v>2.8851329315841105E-3</v>
      </c>
    </row>
    <row r="6" spans="1:16" x14ac:dyDescent="0.25">
      <c r="A6">
        <v>14</v>
      </c>
      <c r="B6">
        <v>20</v>
      </c>
      <c r="C6">
        <v>6</v>
      </c>
      <c r="D6">
        <v>71.029098510742102</v>
      </c>
      <c r="E6">
        <v>66.347642166752607</v>
      </c>
      <c r="G6">
        <v>70.933713858651799</v>
      </c>
      <c r="I6">
        <f t="shared" si="0"/>
        <v>9.5384652090302779E-2</v>
      </c>
      <c r="L6">
        <v>70.867084270676997</v>
      </c>
      <c r="N6">
        <v>70.895995646808601</v>
      </c>
      <c r="P6">
        <f t="shared" si="1"/>
        <v>1.8739202203639377E-3</v>
      </c>
    </row>
    <row r="7" spans="1:16" x14ac:dyDescent="0.25">
      <c r="A7">
        <v>14</v>
      </c>
      <c r="B7">
        <v>15</v>
      </c>
      <c r="C7">
        <v>4</v>
      </c>
      <c r="D7">
        <v>71.078514099121094</v>
      </c>
      <c r="E7">
        <v>66.606913319944695</v>
      </c>
      <c r="G7">
        <v>70.981679407430207</v>
      </c>
      <c r="I7">
        <f t="shared" si="0"/>
        <v>9.6834691690887098E-2</v>
      </c>
      <c r="L7">
        <v>70.887709335486605</v>
      </c>
      <c r="N7">
        <v>70.882474272146396</v>
      </c>
      <c r="P7">
        <f t="shared" si="1"/>
        <v>2.7580743556528788E-3</v>
      </c>
    </row>
    <row r="8" spans="1:16" x14ac:dyDescent="0.25">
      <c r="A8">
        <v>14</v>
      </c>
      <c r="B8">
        <v>20</v>
      </c>
      <c r="C8">
        <v>5</v>
      </c>
      <c r="D8">
        <v>71.042709350585895</v>
      </c>
      <c r="E8">
        <v>66.469557545202804</v>
      </c>
      <c r="G8">
        <v>70.934282307588603</v>
      </c>
      <c r="I8">
        <f t="shared" si="0"/>
        <v>0.10842704299729178</v>
      </c>
      <c r="L8">
        <v>70.916147184662606</v>
      </c>
      <c r="N8">
        <v>70.872728327244801</v>
      </c>
      <c r="P8">
        <f t="shared" si="1"/>
        <v>2.3926596394608433E-3</v>
      </c>
    </row>
    <row r="9" spans="1:16" x14ac:dyDescent="0.25">
      <c r="A9">
        <v>14</v>
      </c>
      <c r="B9">
        <v>15</v>
      </c>
      <c r="C9">
        <v>5</v>
      </c>
      <c r="D9">
        <v>71.068450927734304</v>
      </c>
      <c r="E9">
        <v>66.535852298200297</v>
      </c>
      <c r="G9">
        <v>70.941395723149199</v>
      </c>
      <c r="I9">
        <f t="shared" si="0"/>
        <v>0.12705520458510478</v>
      </c>
      <c r="L9">
        <v>70.841558490115005</v>
      </c>
      <c r="N9">
        <v>70.906687958297297</v>
      </c>
      <c r="P9">
        <f t="shared" si="1"/>
        <v>2.2761572445344942E-3</v>
      </c>
    </row>
    <row r="10" spans="1:16" x14ac:dyDescent="0.25">
      <c r="A10">
        <v>14</v>
      </c>
      <c r="B10">
        <v>15</v>
      </c>
      <c r="C10">
        <v>6</v>
      </c>
      <c r="D10">
        <v>71.065887451171804</v>
      </c>
      <c r="E10">
        <v>66.445598296987797</v>
      </c>
      <c r="G10">
        <v>70.918290573952007</v>
      </c>
      <c r="I10">
        <f t="shared" si="0"/>
        <v>0.14759687721979731</v>
      </c>
      <c r="L10">
        <v>70.821144642693895</v>
      </c>
      <c r="N10">
        <v>70.910338348902101</v>
      </c>
      <c r="P10">
        <f t="shared" si="1"/>
        <v>2.1888012357064823E-3</v>
      </c>
    </row>
    <row r="11" spans="1:16" x14ac:dyDescent="0.25">
      <c r="A11">
        <v>10</v>
      </c>
      <c r="B11">
        <v>15</v>
      </c>
      <c r="C11">
        <v>4</v>
      </c>
      <c r="D11">
        <v>70.325653076171804</v>
      </c>
      <c r="E11">
        <v>65.558590930191301</v>
      </c>
      <c r="G11">
        <v>71.018553376671406</v>
      </c>
      <c r="I11">
        <f t="shared" si="0"/>
        <v>0.69290030049960194</v>
      </c>
      <c r="L11">
        <v>71.138997602439204</v>
      </c>
      <c r="N11">
        <v>70.318018126623102</v>
      </c>
      <c r="P11">
        <f t="shared" si="1"/>
        <v>1.0856564020006485E-4</v>
      </c>
    </row>
    <row r="12" spans="1:16" x14ac:dyDescent="0.25">
      <c r="A12">
        <v>10</v>
      </c>
      <c r="B12">
        <v>20</v>
      </c>
      <c r="C12">
        <v>5</v>
      </c>
      <c r="D12">
        <v>70.284622192382798</v>
      </c>
      <c r="E12">
        <v>65.470314647840397</v>
      </c>
      <c r="G12">
        <v>71.140999290223405</v>
      </c>
      <c r="I12">
        <f t="shared" si="0"/>
        <v>0.85637709784060689</v>
      </c>
      <c r="L12">
        <v>71.114671355923306</v>
      </c>
      <c r="N12">
        <v>70.332185606622005</v>
      </c>
      <c r="P12">
        <f t="shared" si="1"/>
        <v>6.767257581468723E-4</v>
      </c>
    </row>
    <row r="13" spans="1:16" x14ac:dyDescent="0.25">
      <c r="A13">
        <v>10</v>
      </c>
      <c r="B13">
        <v>25</v>
      </c>
      <c r="C13">
        <v>4</v>
      </c>
      <c r="D13">
        <v>70.299819946289006</v>
      </c>
      <c r="E13">
        <v>65.504993197929096</v>
      </c>
      <c r="G13">
        <v>71.158457737121097</v>
      </c>
      <c r="I13">
        <f t="shared" si="0"/>
        <v>0.85863779083209124</v>
      </c>
      <c r="L13">
        <v>71.166442308891803</v>
      </c>
      <c r="N13">
        <v>70.345883876143503</v>
      </c>
      <c r="P13">
        <f t="shared" si="1"/>
        <v>6.5524961357926227E-4</v>
      </c>
    </row>
    <row r="14" spans="1:16" x14ac:dyDescent="0.25">
      <c r="A14">
        <v>10</v>
      </c>
      <c r="B14">
        <v>15</v>
      </c>
      <c r="C14">
        <v>5</v>
      </c>
      <c r="D14">
        <v>70.323112487792898</v>
      </c>
      <c r="E14">
        <v>65.512212018931706</v>
      </c>
      <c r="G14">
        <v>71.184664198319197</v>
      </c>
      <c r="I14">
        <f t="shared" si="0"/>
        <v>0.86155171052629953</v>
      </c>
      <c r="L14">
        <v>71.460764652437007</v>
      </c>
      <c r="N14">
        <v>70.169969675217601</v>
      </c>
      <c r="P14">
        <f t="shared" si="1"/>
        <v>2.1777024246741089E-3</v>
      </c>
    </row>
    <row r="15" spans="1:16" x14ac:dyDescent="0.25">
      <c r="A15">
        <v>10</v>
      </c>
      <c r="B15">
        <v>20</v>
      </c>
      <c r="C15">
        <v>4</v>
      </c>
      <c r="D15">
        <v>70.301277160644503</v>
      </c>
      <c r="E15">
        <v>65.533006041133604</v>
      </c>
      <c r="G15">
        <v>71.184222664643599</v>
      </c>
      <c r="I15">
        <f t="shared" si="0"/>
        <v>0.8829455039990961</v>
      </c>
      <c r="L15">
        <v>71.1404474758112</v>
      </c>
      <c r="N15">
        <v>70.343585497547494</v>
      </c>
      <c r="P15">
        <f t="shared" si="1"/>
        <v>6.0181462715553323E-4</v>
      </c>
    </row>
    <row r="16" spans="1:16" x14ac:dyDescent="0.25">
      <c r="A16">
        <v>10</v>
      </c>
      <c r="B16">
        <v>25</v>
      </c>
      <c r="C16">
        <v>6</v>
      </c>
      <c r="D16">
        <v>70.247932434082003</v>
      </c>
      <c r="E16">
        <v>65.318514745981005</v>
      </c>
      <c r="G16">
        <v>71.153734353614695</v>
      </c>
      <c r="I16">
        <f t="shared" si="0"/>
        <v>0.90580191953269207</v>
      </c>
      <c r="L16">
        <v>71.108780475232905</v>
      </c>
      <c r="N16">
        <v>70.335924653752102</v>
      </c>
      <c r="P16">
        <f t="shared" si="1"/>
        <v>1.2525951529273464E-3</v>
      </c>
    </row>
    <row r="17" spans="1:16" x14ac:dyDescent="0.25">
      <c r="A17">
        <v>10</v>
      </c>
      <c r="B17">
        <v>25</v>
      </c>
      <c r="C17">
        <v>5</v>
      </c>
      <c r="D17">
        <v>70.276710510253906</v>
      </c>
      <c r="E17">
        <v>65.424640031308002</v>
      </c>
      <c r="G17">
        <v>71.184222664643599</v>
      </c>
      <c r="I17">
        <f t="shared" si="0"/>
        <v>0.90751215438969268</v>
      </c>
      <c r="L17">
        <v>71.1404474758112</v>
      </c>
      <c r="N17">
        <v>70.343585497547494</v>
      </c>
      <c r="P17">
        <f t="shared" si="1"/>
        <v>9.5159529818673123E-4</v>
      </c>
    </row>
    <row r="18" spans="1:16" x14ac:dyDescent="0.25">
      <c r="A18">
        <v>10</v>
      </c>
      <c r="B18">
        <v>20</v>
      </c>
      <c r="C18">
        <v>6</v>
      </c>
      <c r="D18">
        <v>70.263671875</v>
      </c>
      <c r="E18">
        <v>65.387479524827199</v>
      </c>
      <c r="G18">
        <v>71.376847172782107</v>
      </c>
      <c r="I18">
        <f t="shared" si="0"/>
        <v>1.1131752977821066</v>
      </c>
      <c r="L18">
        <v>71.221014536326393</v>
      </c>
      <c r="N18">
        <v>70.263550401257206</v>
      </c>
      <c r="P18">
        <f t="shared" si="1"/>
        <v>1.7288271385883165E-6</v>
      </c>
    </row>
    <row r="19" spans="1:16" x14ac:dyDescent="0.25">
      <c r="A19">
        <v>18</v>
      </c>
      <c r="B19">
        <v>25</v>
      </c>
      <c r="C19">
        <v>6</v>
      </c>
      <c r="D19">
        <v>74.285728454589801</v>
      </c>
      <c r="E19">
        <v>68.432145808754797</v>
      </c>
      <c r="G19">
        <v>73.055755774834296</v>
      </c>
      <c r="I19">
        <f t="shared" si="0"/>
        <v>1.2299726797555053</v>
      </c>
      <c r="L19">
        <v>72.991024730323403</v>
      </c>
      <c r="N19">
        <v>74.286689945861994</v>
      </c>
      <c r="P19">
        <f t="shared" si="1"/>
        <v>1.2943149272348683E-5</v>
      </c>
    </row>
    <row r="20" spans="1:16" x14ac:dyDescent="0.25">
      <c r="A20">
        <v>18</v>
      </c>
      <c r="B20">
        <v>20</v>
      </c>
      <c r="C20">
        <v>5</v>
      </c>
      <c r="D20">
        <v>74.304733276367102</v>
      </c>
      <c r="E20">
        <v>68.709253532021506</v>
      </c>
      <c r="G20">
        <v>73.035757277114996</v>
      </c>
      <c r="I20">
        <f t="shared" si="0"/>
        <v>1.2689759992521061</v>
      </c>
      <c r="L20">
        <v>72.989484085842307</v>
      </c>
      <c r="N20">
        <v>74.288298309049793</v>
      </c>
      <c r="P20">
        <f t="shared" si="1"/>
        <v>2.2118331622537974E-4</v>
      </c>
    </row>
    <row r="21" spans="1:16" x14ac:dyDescent="0.25">
      <c r="A21">
        <v>18</v>
      </c>
      <c r="B21">
        <v>25</v>
      </c>
      <c r="C21">
        <v>5</v>
      </c>
      <c r="D21">
        <v>74.299598693847599</v>
      </c>
      <c r="E21">
        <v>68.619441362110294</v>
      </c>
      <c r="G21">
        <v>72.992954489191405</v>
      </c>
      <c r="I21">
        <f t="shared" si="0"/>
        <v>1.3066442046561946</v>
      </c>
      <c r="L21">
        <v>72.989249610924205</v>
      </c>
      <c r="N21">
        <v>74.281669561028494</v>
      </c>
      <c r="P21">
        <f t="shared" si="1"/>
        <v>2.413086091216022E-4</v>
      </c>
    </row>
    <row r="22" spans="1:16" x14ac:dyDescent="0.25">
      <c r="A22">
        <v>18</v>
      </c>
      <c r="B22">
        <v>25</v>
      </c>
      <c r="C22">
        <v>4</v>
      </c>
      <c r="D22">
        <v>74.310302734375</v>
      </c>
      <c r="E22">
        <v>68.769483419466795</v>
      </c>
      <c r="G22">
        <v>72.992382600399296</v>
      </c>
      <c r="I22">
        <f t="shared" si="0"/>
        <v>1.3179201339757043</v>
      </c>
      <c r="L22">
        <v>72.987229029605899</v>
      </c>
      <c r="N22">
        <v>74.270137521697606</v>
      </c>
      <c r="P22">
        <f t="shared" si="1"/>
        <v>5.4050664846523372E-4</v>
      </c>
    </row>
    <row r="23" spans="1:16" x14ac:dyDescent="0.25">
      <c r="A23">
        <v>18</v>
      </c>
      <c r="B23">
        <v>20</v>
      </c>
      <c r="C23">
        <v>4</v>
      </c>
      <c r="D23">
        <v>74.311271667480398</v>
      </c>
      <c r="E23">
        <v>68.826378784026403</v>
      </c>
      <c r="G23">
        <v>72.992954489191405</v>
      </c>
      <c r="I23">
        <f t="shared" si="0"/>
        <v>1.3183171782889929</v>
      </c>
      <c r="L23">
        <v>72.989249610924205</v>
      </c>
      <c r="N23">
        <v>74.281669561028494</v>
      </c>
      <c r="P23">
        <f t="shared" si="1"/>
        <v>3.9835284456393093E-4</v>
      </c>
    </row>
    <row r="24" spans="1:16" x14ac:dyDescent="0.25">
      <c r="A24">
        <v>18</v>
      </c>
      <c r="B24">
        <v>15</v>
      </c>
      <c r="C24">
        <v>4</v>
      </c>
      <c r="D24">
        <v>74.320350646972599</v>
      </c>
      <c r="E24">
        <v>68.878460374063593</v>
      </c>
      <c r="G24">
        <v>72.998231997460707</v>
      </c>
      <c r="I24">
        <f t="shared" si="0"/>
        <v>1.3221186495118928</v>
      </c>
      <c r="L24">
        <v>72.990431894352298</v>
      </c>
      <c r="N24">
        <v>74.2890715444981</v>
      </c>
      <c r="P24">
        <f t="shared" si="1"/>
        <v>4.208686073492543E-4</v>
      </c>
    </row>
    <row r="25" spans="1:16" x14ac:dyDescent="0.25">
      <c r="A25">
        <v>18</v>
      </c>
      <c r="B25">
        <v>20</v>
      </c>
      <c r="C25">
        <v>6</v>
      </c>
      <c r="D25">
        <v>74.298110961914006</v>
      </c>
      <c r="E25">
        <v>68.563103848512199</v>
      </c>
      <c r="G25">
        <v>72.944719142800807</v>
      </c>
      <c r="I25">
        <f t="shared" si="0"/>
        <v>1.3533918191131988</v>
      </c>
      <c r="L25">
        <v>72.996676618076705</v>
      </c>
      <c r="N25">
        <v>74.293324130368205</v>
      </c>
      <c r="P25">
        <f t="shared" si="1"/>
        <v>6.4427365431325389E-5</v>
      </c>
    </row>
    <row r="26" spans="1:16" x14ac:dyDescent="0.25">
      <c r="A26">
        <v>18</v>
      </c>
      <c r="B26">
        <v>15</v>
      </c>
      <c r="C26">
        <v>5</v>
      </c>
      <c r="D26">
        <v>74.319122314453097</v>
      </c>
      <c r="E26">
        <v>68.791592504126001</v>
      </c>
      <c r="G26">
        <v>72.958392670617201</v>
      </c>
      <c r="I26">
        <f t="shared" si="0"/>
        <v>1.3607296438358958</v>
      </c>
      <c r="L26">
        <v>72.972594267575502</v>
      </c>
      <c r="N26">
        <v>74.318997303655195</v>
      </c>
      <c r="P26">
        <f t="shared" si="1"/>
        <v>1.6820811926828338E-6</v>
      </c>
    </row>
    <row r="27" spans="1:16" x14ac:dyDescent="0.25">
      <c r="A27">
        <v>18</v>
      </c>
      <c r="B27">
        <v>15</v>
      </c>
      <c r="C27">
        <v>6</v>
      </c>
      <c r="D27">
        <v>74.317596435546804</v>
      </c>
      <c r="E27">
        <v>68.683337291081699</v>
      </c>
      <c r="G27">
        <v>72.941886858295206</v>
      </c>
      <c r="I27">
        <f t="shared" si="0"/>
        <v>1.3757095772515981</v>
      </c>
      <c r="L27">
        <v>72.920273451157499</v>
      </c>
      <c r="N27">
        <v>74.351660960313794</v>
      </c>
      <c r="P27">
        <f t="shared" si="1"/>
        <v>4.5836418830542741E-4</v>
      </c>
    </row>
    <row r="28" spans="1:16" x14ac:dyDescent="0.25">
      <c r="A28">
        <v>10</v>
      </c>
      <c r="B28">
        <v>15</v>
      </c>
      <c r="C28">
        <v>6</v>
      </c>
      <c r="D28">
        <v>70.3199462890625</v>
      </c>
      <c r="E28">
        <v>65.451150123332397</v>
      </c>
      <c r="G28">
        <v>72.040324835493095</v>
      </c>
      <c r="I28">
        <f t="shared" si="0"/>
        <v>1.7203785464305952</v>
      </c>
      <c r="L28">
        <v>71.960322835400405</v>
      </c>
      <c r="N28">
        <v>69.955110168271801</v>
      </c>
      <c r="P28">
        <f t="shared" si="1"/>
        <v>5.1882309365108969E-3</v>
      </c>
    </row>
  </sheetData>
  <autoFilter ref="A1:I28" xr:uid="{F9BBDCDA-635D-443F-A0D2-D384AABABC50}">
    <sortState xmlns:xlrd2="http://schemas.microsoft.com/office/spreadsheetml/2017/richdata2" ref="A2:I28">
      <sortCondition ref="I1:I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2026-06-16T13:10:39Z</dcterms:modified>
</cp:coreProperties>
</file>