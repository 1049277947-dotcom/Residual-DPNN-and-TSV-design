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anshuhuajianmo\"/>
    </mc:Choice>
  </mc:AlternateContent>
  <xr:revisionPtr revIDLastSave="0" documentId="13_ncr:1_{01354296-3AEC-46A8-A779-B24F4B8F0FB0}" xr6:coauthVersionLast="47" xr6:coauthVersionMax="47" xr10:uidLastSave="{00000000-0000-0000-0000-000000000000}"/>
  <bookViews>
    <workbookView xWindow="4164" yWindow="2364" windowWidth="25224" windowHeight="12120" xr2:uid="{908726EF-41C4-4A27-97C4-0E904646AFA0}"/>
  </bookViews>
  <sheets>
    <sheet name="Sheet1" sheetId="1" r:id="rId1"/>
  </sheets>
  <definedNames>
    <definedName name="_xlnm._FilterDatabase" localSheetId="0" hidden="1">Sheet1!$A$1:$W$28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10" i="1" l="1"/>
  <c r="S22" i="1"/>
  <c r="S28" i="1"/>
  <c r="S13" i="1"/>
  <c r="S19" i="1"/>
  <c r="S24" i="1"/>
  <c r="S15" i="1"/>
  <c r="S3" i="1"/>
  <c r="S25" i="1"/>
  <c r="S9" i="1"/>
  <c r="S7" i="1"/>
  <c r="S11" i="1"/>
  <c r="S14" i="1"/>
  <c r="S17" i="1"/>
  <c r="S21" i="1"/>
  <c r="S27" i="1"/>
  <c r="S16" i="1"/>
  <c r="S12" i="1"/>
  <c r="S18" i="1"/>
  <c r="S23" i="1"/>
  <c r="S6" i="1"/>
  <c r="S2" i="1"/>
  <c r="S5" i="1"/>
  <c r="S8" i="1"/>
  <c r="S20" i="1"/>
  <c r="S26" i="1"/>
  <c r="S4" i="1"/>
  <c r="W5" i="1"/>
  <c r="W8" i="1"/>
  <c r="W6" i="1"/>
  <c r="W3" i="1"/>
  <c r="W9" i="1"/>
  <c r="W7" i="1"/>
  <c r="W4" i="1"/>
  <c r="W10" i="1"/>
  <c r="W17" i="1"/>
  <c r="W11" i="1"/>
  <c r="W14" i="1"/>
  <c r="W12" i="1"/>
  <c r="W18" i="1"/>
  <c r="W15" i="1"/>
  <c r="W16" i="1"/>
  <c r="W13" i="1"/>
  <c r="W19" i="1"/>
  <c r="W26" i="1"/>
  <c r="W20" i="1"/>
  <c r="W23" i="1"/>
  <c r="W27" i="1"/>
  <c r="W21" i="1"/>
  <c r="W24" i="1"/>
  <c r="W25" i="1"/>
  <c r="W28" i="1"/>
  <c r="W22" i="1"/>
  <c r="W2" i="1"/>
  <c r="K15" i="1"/>
  <c r="M15" i="1" s="1"/>
  <c r="K9" i="1"/>
  <c r="M9" i="1" s="1"/>
  <c r="K17" i="1"/>
  <c r="M17" i="1" s="1"/>
  <c r="K20" i="1"/>
  <c r="M20" i="1" s="1"/>
  <c r="K16" i="1"/>
  <c r="M16" i="1" s="1"/>
  <c r="K10" i="1"/>
  <c r="M10" i="1" s="1"/>
  <c r="K11" i="1"/>
  <c r="M11" i="1" s="1"/>
  <c r="K12" i="1"/>
  <c r="M12" i="1" s="1"/>
  <c r="K18" i="1"/>
  <c r="M18" i="1" s="1"/>
  <c r="K13" i="1"/>
  <c r="M13" i="1" s="1"/>
  <c r="K14" i="1"/>
  <c r="M14" i="1" s="1"/>
  <c r="K24" i="1"/>
  <c r="M24" i="1" s="1"/>
  <c r="K21" i="1"/>
  <c r="M21" i="1" s="1"/>
  <c r="K22" i="1"/>
  <c r="M22" i="1" s="1"/>
  <c r="K23" i="1"/>
  <c r="M23" i="1" s="1"/>
  <c r="K25" i="1"/>
  <c r="M25" i="1" s="1"/>
  <c r="K26" i="1"/>
  <c r="M26" i="1" s="1"/>
  <c r="K27" i="1"/>
  <c r="M27" i="1" s="1"/>
  <c r="K28" i="1"/>
  <c r="M28" i="1" s="1"/>
  <c r="K8" i="1"/>
  <c r="M8" i="1" s="1"/>
  <c r="K5" i="1"/>
  <c r="M5" i="1" s="1"/>
  <c r="K6" i="1"/>
  <c r="M6" i="1" s="1"/>
  <c r="K2" i="1"/>
  <c r="M2" i="1" s="1"/>
  <c r="K7" i="1"/>
  <c r="M7" i="1" s="1"/>
  <c r="K3" i="1"/>
  <c r="M3" i="1" s="1"/>
  <c r="K4" i="1"/>
  <c r="M4" i="1" s="1"/>
  <c r="K19" i="1"/>
  <c r="M19" i="1" s="1"/>
</calcChain>
</file>

<file path=xl/sharedStrings.xml><?xml version="1.0" encoding="utf-8"?>
<sst xmlns="http://schemas.openxmlformats.org/spreadsheetml/2006/main" count="9" uniqueCount="9">
  <si>
    <t>x</t>
    <phoneticPr fontId="1" type="noConversion"/>
  </si>
  <si>
    <t>y</t>
    <phoneticPr fontId="1" type="noConversion"/>
  </si>
  <si>
    <t>z</t>
    <phoneticPr fontId="1" type="noConversion"/>
  </si>
  <si>
    <t>max</t>
    <phoneticPr fontId="1" type="noConversion"/>
  </si>
  <si>
    <t>ave</t>
    <phoneticPr fontId="1" type="noConversion"/>
  </si>
  <si>
    <t>max1</t>
    <phoneticPr fontId="1" type="noConversion"/>
  </si>
  <si>
    <t>max4</t>
    <phoneticPr fontId="1" type="noConversion"/>
  </si>
  <si>
    <t>鐞嗚Mises(MPa)</t>
  </si>
  <si>
    <t>鏈€缁堟€诲簲鍔?MPa)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</si>
</sst>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BDCDA-635D-443F-A0D2-D384AABABC50}">
  <dimension ref="A1:W28"/>
  <sheetViews>
    <sheetView tabSelected="1" workbookViewId="0">
      <selection activeCell="W1" sqref="W1:W1048576"/>
    </sheetView>
  </sheetViews>
  <sheetFormatPr defaultRowHeight="13.8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I1" t="s">
        <v>5</v>
      </c>
      <c r="O1" t="s">
        <v>6</v>
      </c>
      <c r="Q1" t="s">
        <v>7</v>
      </c>
      <c r="U1" t="s">
        <v>8</v>
      </c>
    </row>
    <row r="2" spans="1:23" x14ac:dyDescent="0.25">
      <c r="A2">
        <v>10</v>
      </c>
      <c r="B2">
        <v>15</v>
      </c>
      <c r="C2">
        <v>4</v>
      </c>
      <c r="D2">
        <v>209.81340026855401</v>
      </c>
      <c r="E2">
        <v>65.1004500290409</v>
      </c>
      <c r="I2">
        <v>246.206539447387</v>
      </c>
      <c r="K2">
        <f>ABS(I2-D2)</f>
        <v>36.393139178832996</v>
      </c>
      <c r="M2">
        <f>K2/D2</f>
        <v>0.17345478950463133</v>
      </c>
      <c r="O2">
        <v>245.68685556126999</v>
      </c>
      <c r="Q2">
        <v>286.99791174555997</v>
      </c>
      <c r="S2">
        <f>D2-Q2</f>
        <v>-77.184511477005969</v>
      </c>
      <c r="U2">
        <v>209.81337653326599</v>
      </c>
      <c r="W2">
        <f>ABS(U2-D2)/D2</f>
        <v>1.1312570112397108E-7</v>
      </c>
    </row>
    <row r="3" spans="1:23" x14ac:dyDescent="0.25">
      <c r="A3">
        <v>10</v>
      </c>
      <c r="B3">
        <v>15</v>
      </c>
      <c r="C3">
        <v>5</v>
      </c>
      <c r="D3">
        <v>224.432357788085</v>
      </c>
      <c r="E3">
        <v>73.106951945270893</v>
      </c>
      <c r="I3">
        <v>275.81107084601803</v>
      </c>
      <c r="K3">
        <f>ABS(I3-D3)</f>
        <v>51.378713057933027</v>
      </c>
      <c r="M3">
        <f>K3/D3</f>
        <v>0.22892738624813705</v>
      </c>
      <c r="O3">
        <v>229.660270809629</v>
      </c>
      <c r="Q3">
        <v>286.76063352789998</v>
      </c>
      <c r="S3">
        <f>D3-Q3</f>
        <v>-62.328275739814984</v>
      </c>
      <c r="U3">
        <v>218.875059013098</v>
      </c>
      <c r="W3">
        <f>ABS(U3-D3)/D3</f>
        <v>2.4761575513252653E-2</v>
      </c>
    </row>
    <row r="4" spans="1:23" x14ac:dyDescent="0.25">
      <c r="A4">
        <v>10</v>
      </c>
      <c r="B4">
        <v>15</v>
      </c>
      <c r="C4">
        <v>6</v>
      </c>
      <c r="D4">
        <v>233.004959106445</v>
      </c>
      <c r="E4">
        <v>80.816552808571302</v>
      </c>
      <c r="I4">
        <v>316.75139291731801</v>
      </c>
      <c r="K4">
        <f>ABS(I4-D4)</f>
        <v>83.746433810873015</v>
      </c>
      <c r="M4">
        <f>K4/D4</f>
        <v>0.35941910477800021</v>
      </c>
      <c r="O4">
        <v>256.83954457584002</v>
      </c>
      <c r="Q4">
        <v>286.49048849857201</v>
      </c>
      <c r="S4">
        <f>D4-Q4</f>
        <v>-53.485529392127006</v>
      </c>
      <c r="U4">
        <v>233.23885555852999</v>
      </c>
      <c r="W4">
        <f>ABS(U4-D4)/D4</f>
        <v>1.0038260686895469E-3</v>
      </c>
    </row>
    <row r="5" spans="1:23" x14ac:dyDescent="0.25">
      <c r="A5">
        <v>10</v>
      </c>
      <c r="B5">
        <v>20</v>
      </c>
      <c r="C5">
        <v>4</v>
      </c>
      <c r="D5">
        <v>209.87210083007801</v>
      </c>
      <c r="E5">
        <v>79.568006848717005</v>
      </c>
      <c r="I5">
        <v>244.383578322109</v>
      </c>
      <c r="K5">
        <f>ABS(I5-D5)</f>
        <v>34.511477492030991</v>
      </c>
      <c r="M5">
        <f>K5/D5</f>
        <v>0.16444052046714419</v>
      </c>
      <c r="O5">
        <v>228.58991072443499</v>
      </c>
      <c r="Q5">
        <v>287.19816072864501</v>
      </c>
      <c r="S5">
        <f>D5-Q5</f>
        <v>-77.326059898566996</v>
      </c>
      <c r="U5">
        <v>207.71767787878301</v>
      </c>
      <c r="W5">
        <f>ABS(U5-D5)/D5</f>
        <v>1.0265408993257863E-2</v>
      </c>
    </row>
    <row r="6" spans="1:23" x14ac:dyDescent="0.25">
      <c r="A6">
        <v>10</v>
      </c>
      <c r="B6">
        <v>20</v>
      </c>
      <c r="C6">
        <v>5</v>
      </c>
      <c r="D6">
        <v>211.02536010742099</v>
      </c>
      <c r="E6">
        <v>85.236595251406797</v>
      </c>
      <c r="I6">
        <v>274.87237013477198</v>
      </c>
      <c r="K6">
        <f>ABS(I6-D6)</f>
        <v>63.84701002735099</v>
      </c>
      <c r="M6">
        <f>K6/D6</f>
        <v>0.30255610034192154</v>
      </c>
      <c r="O6">
        <v>230.138110444597</v>
      </c>
      <c r="Q6">
        <v>287.05162894508101</v>
      </c>
      <c r="S6">
        <f>D6-Q6</f>
        <v>-76.026268837660012</v>
      </c>
      <c r="U6">
        <v>217.56158773275899</v>
      </c>
      <c r="W6">
        <f>ABS(U6-D6)/D6</f>
        <v>3.0973659383927973E-2</v>
      </c>
    </row>
    <row r="7" spans="1:23" x14ac:dyDescent="0.25">
      <c r="A7">
        <v>10</v>
      </c>
      <c r="B7">
        <v>20</v>
      </c>
      <c r="C7">
        <v>6</v>
      </c>
      <c r="D7">
        <v>222.93974304199199</v>
      </c>
      <c r="E7">
        <v>95.624397272516404</v>
      </c>
      <c r="I7">
        <v>316.79918029633501</v>
      </c>
      <c r="K7">
        <f>ABS(I7-D7)</f>
        <v>93.859437254343021</v>
      </c>
      <c r="M7">
        <f>K7/D7</f>
        <v>0.42100809830333419</v>
      </c>
      <c r="O7">
        <v>230.48054753645201</v>
      </c>
      <c r="Q7">
        <v>286.88362040120501</v>
      </c>
      <c r="S7">
        <f>D7-Q7</f>
        <v>-63.943877359213019</v>
      </c>
      <c r="U7">
        <v>232.45039236175899</v>
      </c>
      <c r="W7">
        <f>ABS(U7-D7)/D7</f>
        <v>4.2660178889573817E-2</v>
      </c>
    </row>
    <row r="8" spans="1:23" x14ac:dyDescent="0.25">
      <c r="A8">
        <v>10</v>
      </c>
      <c r="B8">
        <v>25</v>
      </c>
      <c r="C8">
        <v>4</v>
      </c>
      <c r="D8">
        <v>209.91554260253901</v>
      </c>
      <c r="E8">
        <v>98.759871491697993</v>
      </c>
      <c r="I8">
        <v>245.75076572721099</v>
      </c>
      <c r="K8">
        <f>ABS(I8-D8)</f>
        <v>35.835223124671984</v>
      </c>
      <c r="M8">
        <f>K8/D8</f>
        <v>0.17071257649808036</v>
      </c>
      <c r="O8">
        <v>231.71237565812501</v>
      </c>
      <c r="Q8">
        <v>287.29839060671401</v>
      </c>
      <c r="S8">
        <f>D8-Q8</f>
        <v>-77.382848004175003</v>
      </c>
      <c r="U8">
        <v>207.080881594163</v>
      </c>
      <c r="W8">
        <f>ABS(U8-D8)/D8</f>
        <v>1.3503816693284322E-2</v>
      </c>
    </row>
    <row r="9" spans="1:23" x14ac:dyDescent="0.25">
      <c r="A9">
        <v>10</v>
      </c>
      <c r="B9">
        <v>25</v>
      </c>
      <c r="C9">
        <v>5</v>
      </c>
      <c r="D9">
        <v>224.55854797363199</v>
      </c>
      <c r="E9">
        <v>116.14080428426</v>
      </c>
      <c r="I9">
        <v>278.33122714709299</v>
      </c>
      <c r="K9">
        <f>ABS(I9-D9)</f>
        <v>53.772679173461</v>
      </c>
      <c r="M9">
        <f>K9/D9</f>
        <v>0.2394595069245597</v>
      </c>
      <c r="O9">
        <v>259.91867727215299</v>
      </c>
      <c r="Q9">
        <v>287.19816072864501</v>
      </c>
      <c r="S9">
        <f>D9-Q9</f>
        <v>-62.639612755013019</v>
      </c>
      <c r="U9">
        <v>217.63808308587599</v>
      </c>
      <c r="W9">
        <f>ABS(U9-D9)/D9</f>
        <v>3.0818087087776367E-2</v>
      </c>
    </row>
    <row r="10" spans="1:23" x14ac:dyDescent="0.25">
      <c r="A10">
        <v>10</v>
      </c>
      <c r="B10">
        <v>25</v>
      </c>
      <c r="C10">
        <v>6</v>
      </c>
      <c r="D10">
        <v>233.15679931640599</v>
      </c>
      <c r="E10">
        <v>132.61415791336199</v>
      </c>
      <c r="I10">
        <v>320.390331906418</v>
      </c>
      <c r="K10">
        <f>ABS(I10-D10)</f>
        <v>87.233532590012004</v>
      </c>
      <c r="M10">
        <f>K10/D10</f>
        <v>0.37414106234848221</v>
      </c>
      <c r="O10">
        <v>253.367430965838</v>
      </c>
      <c r="Q10">
        <v>287.08272034093801</v>
      </c>
      <c r="S10">
        <f>D10-Q10</f>
        <v>-53.925921024532016</v>
      </c>
      <c r="U10">
        <v>233.15665826698299</v>
      </c>
      <c r="W10">
        <f>ABS(U10-D10)/D10</f>
        <v>6.0495522078160623E-7</v>
      </c>
    </row>
    <row r="11" spans="1:23" x14ac:dyDescent="0.25">
      <c r="A11">
        <v>14</v>
      </c>
      <c r="B11">
        <v>15</v>
      </c>
      <c r="C11">
        <v>4</v>
      </c>
      <c r="D11">
        <v>233.68316650390599</v>
      </c>
      <c r="E11">
        <v>62.2878014410432</v>
      </c>
      <c r="I11">
        <v>236.52915246624801</v>
      </c>
      <c r="K11">
        <f>ABS(I11-D11)</f>
        <v>2.845985962342013</v>
      </c>
      <c r="M11">
        <f>K11/D11</f>
        <v>1.2178823168653197E-2</v>
      </c>
      <c r="O11">
        <v>272.82715525505603</v>
      </c>
      <c r="Q11">
        <v>298.05600736425401</v>
      </c>
      <c r="S11">
        <f>D11-Q11</f>
        <v>-64.37284086034802</v>
      </c>
      <c r="U11">
        <v>233.68311952607399</v>
      </c>
      <c r="W11">
        <f>ABS(U11-D11)/D11</f>
        <v>2.010321612053246E-7</v>
      </c>
    </row>
    <row r="12" spans="1:23" x14ac:dyDescent="0.25">
      <c r="A12">
        <v>14</v>
      </c>
      <c r="B12">
        <v>15</v>
      </c>
      <c r="C12">
        <v>5</v>
      </c>
      <c r="D12">
        <v>229.26870727539</v>
      </c>
      <c r="E12">
        <v>62.722994478069303</v>
      </c>
      <c r="I12">
        <v>251.20839939369799</v>
      </c>
      <c r="K12">
        <f>ABS(I12-D12)</f>
        <v>21.939692118307988</v>
      </c>
      <c r="M12">
        <f>K12/D12</f>
        <v>9.5694228745987361E-2</v>
      </c>
      <c r="O12">
        <v>242.458919079916</v>
      </c>
      <c r="Q12">
        <v>297.801639597769</v>
      </c>
      <c r="S12">
        <f>D12-Q12</f>
        <v>-68.532932322378997</v>
      </c>
      <c r="U12">
        <v>236.67003664427801</v>
      </c>
      <c r="W12">
        <f>ABS(U12-D12)/D12</f>
        <v>3.2282335678709882E-2</v>
      </c>
    </row>
    <row r="13" spans="1:23" x14ac:dyDescent="0.25">
      <c r="A13">
        <v>14</v>
      </c>
      <c r="B13">
        <v>15</v>
      </c>
      <c r="C13">
        <v>6</v>
      </c>
      <c r="D13">
        <v>238.67779541015599</v>
      </c>
      <c r="E13">
        <v>69.575372120177903</v>
      </c>
      <c r="I13">
        <v>260.11191542200203</v>
      </c>
      <c r="K13">
        <f>ABS(I13-D13)</f>
        <v>21.434120011846034</v>
      </c>
      <c r="M13">
        <f>K13/D13</f>
        <v>8.980357797847327E-2</v>
      </c>
      <c r="O13">
        <v>251.113703555016</v>
      </c>
      <c r="Q13">
        <v>297.51164413268202</v>
      </c>
      <c r="S13">
        <f>D13-Q13</f>
        <v>-58.833848722526028</v>
      </c>
      <c r="U13">
        <v>240.23506219420901</v>
      </c>
      <c r="W13">
        <f>ABS(U13-D13)/D13</f>
        <v>6.524556594705121E-3</v>
      </c>
    </row>
    <row r="14" spans="1:23" x14ac:dyDescent="0.25">
      <c r="A14">
        <v>14</v>
      </c>
      <c r="B14">
        <v>20</v>
      </c>
      <c r="C14">
        <v>4</v>
      </c>
      <c r="D14">
        <v>233.75378417968699</v>
      </c>
      <c r="E14">
        <v>72.865474519396699</v>
      </c>
      <c r="I14">
        <v>232.293585753504</v>
      </c>
      <c r="K14">
        <f>ABS(I14-D14)</f>
        <v>1.4601984261829841</v>
      </c>
      <c r="M14">
        <f>K14/D14</f>
        <v>6.2467370584277978E-3</v>
      </c>
      <c r="O14">
        <v>249.45295886278399</v>
      </c>
      <c r="Q14">
        <v>298.27037987038398</v>
      </c>
      <c r="S14">
        <f>D14-Q14</f>
        <v>-64.516595690696988</v>
      </c>
      <c r="U14">
        <v>233.144399916103</v>
      </c>
      <c r="W14">
        <f>ABS(U14-D14)/D14</f>
        <v>2.6069492980509597E-3</v>
      </c>
    </row>
    <row r="15" spans="1:23" x14ac:dyDescent="0.25">
      <c r="A15">
        <v>14</v>
      </c>
      <c r="B15">
        <v>20</v>
      </c>
      <c r="C15">
        <v>5</v>
      </c>
      <c r="D15">
        <v>237.65760803222599</v>
      </c>
      <c r="E15">
        <v>80.195514924731896</v>
      </c>
      <c r="I15">
        <v>243.806774967168</v>
      </c>
      <c r="K15">
        <f>ABS(I15-D15)</f>
        <v>6.1491669349420022</v>
      </c>
      <c r="M15">
        <f>K15/D15</f>
        <v>2.5874058843965916E-2</v>
      </c>
      <c r="O15">
        <v>248.10561804083301</v>
      </c>
      <c r="Q15">
        <v>298.113542694839</v>
      </c>
      <c r="S15">
        <f>D15-Q15</f>
        <v>-60.455934662613004</v>
      </c>
      <c r="U15">
        <v>235.71152417631799</v>
      </c>
      <c r="W15">
        <f>ABS(U15-D15)/D15</f>
        <v>8.1886032263865684E-3</v>
      </c>
    </row>
    <row r="16" spans="1:23" x14ac:dyDescent="0.25">
      <c r="A16">
        <v>14</v>
      </c>
      <c r="B16">
        <v>20</v>
      </c>
      <c r="C16">
        <v>6</v>
      </c>
      <c r="D16">
        <v>230.36248779296801</v>
      </c>
      <c r="E16">
        <v>83.798715969023107</v>
      </c>
      <c r="I16">
        <v>258.607921017531</v>
      </c>
      <c r="K16">
        <f>ABS(I16-D16)</f>
        <v>28.245433224562987</v>
      </c>
      <c r="M16">
        <f>K16/D16</f>
        <v>0.12261298918575579</v>
      </c>
      <c r="O16">
        <v>261.51313201433499</v>
      </c>
      <c r="Q16">
        <v>297.93352801375403</v>
      </c>
      <c r="S16">
        <f>D16-Q16</f>
        <v>-67.571040220786017</v>
      </c>
      <c r="U16">
        <v>239.018194886587</v>
      </c>
      <c r="W16">
        <f>ABS(U16-D16)/D16</f>
        <v>3.7574290747363633E-2</v>
      </c>
    </row>
    <row r="17" spans="1:23" x14ac:dyDescent="0.25">
      <c r="A17">
        <v>14</v>
      </c>
      <c r="B17">
        <v>25</v>
      </c>
      <c r="C17">
        <v>4</v>
      </c>
      <c r="D17">
        <v>233.17684936523401</v>
      </c>
      <c r="E17">
        <v>82.936607120795301</v>
      </c>
      <c r="I17">
        <v>229.015938086619</v>
      </c>
      <c r="K17">
        <f>ABS(I17-D17)</f>
        <v>4.1609112786150035</v>
      </c>
      <c r="M17">
        <f>K17/D17</f>
        <v>1.7844444205940897E-2</v>
      </c>
      <c r="O17">
        <v>269.38053640663998</v>
      </c>
      <c r="Q17">
        <v>298.37755154994397</v>
      </c>
      <c r="S17">
        <f>D17-Q17</f>
        <v>-65.200702184709968</v>
      </c>
      <c r="U17">
        <v>233.54826445913201</v>
      </c>
      <c r="W17">
        <f>ABS(U17-D17)/D17</f>
        <v>1.5928472097855922E-3</v>
      </c>
    </row>
    <row r="18" spans="1:23" x14ac:dyDescent="0.25">
      <c r="A18">
        <v>14</v>
      </c>
      <c r="B18">
        <v>25</v>
      </c>
      <c r="C18">
        <v>5</v>
      </c>
      <c r="D18">
        <v>229.39315795898401</v>
      </c>
      <c r="E18">
        <v>93.659746605945003</v>
      </c>
      <c r="I18">
        <v>241.92453826690101</v>
      </c>
      <c r="K18">
        <f>ABS(I18-D18)</f>
        <v>12.531380307917004</v>
      </c>
      <c r="M18">
        <f>K18/D18</f>
        <v>5.462839615363612E-2</v>
      </c>
      <c r="O18">
        <v>228.01984027595699</v>
      </c>
      <c r="Q18">
        <v>298.27037987038398</v>
      </c>
      <c r="S18">
        <f>D18-Q18</f>
        <v>-68.877221911399971</v>
      </c>
      <c r="U18">
        <v>236.01097618434301</v>
      </c>
      <c r="W18">
        <f>ABS(U18-D18)/D18</f>
        <v>2.884923981273357E-2</v>
      </c>
    </row>
    <row r="19" spans="1:23" x14ac:dyDescent="0.25">
      <c r="A19">
        <v>14</v>
      </c>
      <c r="B19">
        <v>25</v>
      </c>
      <c r="C19">
        <v>6</v>
      </c>
      <c r="D19">
        <v>238.84469604492099</v>
      </c>
      <c r="E19">
        <v>107.18161023630201</v>
      </c>
      <c r="I19">
        <v>260.54005391455303</v>
      </c>
      <c r="K19">
        <f>ABS(I19-D19)</f>
        <v>21.695357869632033</v>
      </c>
      <c r="M19">
        <f>K19/D19</f>
        <v>9.0834580917600341E-2</v>
      </c>
      <c r="O19">
        <v>246.971879822029</v>
      </c>
      <c r="Q19">
        <v>298.146834599812</v>
      </c>
      <c r="S19">
        <f>D19-Q19</f>
        <v>-59.302138554891002</v>
      </c>
      <c r="U19">
        <v>238.84463916273</v>
      </c>
      <c r="W19">
        <f>ABS(U19-D19)/D19</f>
        <v>2.3815555434703324E-7</v>
      </c>
    </row>
    <row r="20" spans="1:23" x14ac:dyDescent="0.25">
      <c r="A20">
        <v>18</v>
      </c>
      <c r="B20">
        <v>15</v>
      </c>
      <c r="C20">
        <v>4</v>
      </c>
      <c r="D20">
        <v>228.717529296875</v>
      </c>
      <c r="E20">
        <v>49.559989662451599</v>
      </c>
      <c r="I20">
        <v>237.087195911435</v>
      </c>
      <c r="K20">
        <f>ABS(I20-D20)</f>
        <v>8.3696666145600034</v>
      </c>
      <c r="M20">
        <f>K20/D20</f>
        <v>3.6593900958488357E-2</v>
      </c>
      <c r="O20">
        <v>251.479882739934</v>
      </c>
      <c r="Q20">
        <v>308.65423322879701</v>
      </c>
      <c r="S20">
        <f>D20-Q20</f>
        <v>-79.936703931922011</v>
      </c>
      <c r="U20">
        <v>228.717483642633</v>
      </c>
      <c r="W20">
        <f>ABS(U20-D20)/D20</f>
        <v>1.9960972008329446E-7</v>
      </c>
    </row>
    <row r="21" spans="1:23" x14ac:dyDescent="0.25">
      <c r="A21">
        <v>18</v>
      </c>
      <c r="B21">
        <v>15</v>
      </c>
      <c r="C21">
        <v>5</v>
      </c>
      <c r="D21">
        <v>243.114974975585</v>
      </c>
      <c r="E21">
        <v>56.0871746053772</v>
      </c>
      <c r="I21">
        <v>249.08031244568099</v>
      </c>
      <c r="K21">
        <f>ABS(I21-D21)</f>
        <v>5.9653374700959887</v>
      </c>
      <c r="M21">
        <f>K21/D21</f>
        <v>2.453710418576668E-2</v>
      </c>
      <c r="O21">
        <v>282.30677092280501</v>
      </c>
      <c r="Q21">
        <v>308.38435382108003</v>
      </c>
      <c r="S21">
        <f>D21-Q21</f>
        <v>-65.269378845495027</v>
      </c>
      <c r="U21">
        <v>241.40140330132999</v>
      </c>
      <c r="W21">
        <f>ABS(U21-D21)/D21</f>
        <v>7.0484003481360788E-3</v>
      </c>
    </row>
    <row r="22" spans="1:23" x14ac:dyDescent="0.25">
      <c r="A22">
        <v>18</v>
      </c>
      <c r="B22">
        <v>15</v>
      </c>
      <c r="C22">
        <v>6</v>
      </c>
      <c r="D22">
        <v>252.148345947265</v>
      </c>
      <c r="E22">
        <v>62.421206542506297</v>
      </c>
      <c r="I22">
        <v>262.042532647992</v>
      </c>
      <c r="K22">
        <f>ABS(I22-D22)</f>
        <v>9.8941867007270048</v>
      </c>
      <c r="M22">
        <f>K22/D22</f>
        <v>3.9239546321657416E-2</v>
      </c>
      <c r="O22">
        <v>323.39645388159499</v>
      </c>
      <c r="Q22">
        <v>308.07620461961602</v>
      </c>
      <c r="S22">
        <f>D22-Q22</f>
        <v>-55.927858672351022</v>
      </c>
      <c r="U22">
        <v>253.235711869563</v>
      </c>
      <c r="W22">
        <f>ABS(U22-D22)/D22</f>
        <v>4.3124055333895383E-3</v>
      </c>
    </row>
    <row r="23" spans="1:23" x14ac:dyDescent="0.25">
      <c r="A23">
        <v>18</v>
      </c>
      <c r="B23">
        <v>20</v>
      </c>
      <c r="C23">
        <v>4</v>
      </c>
      <c r="D23">
        <v>236.02909851074199</v>
      </c>
      <c r="E23">
        <v>61.174601989513803</v>
      </c>
      <c r="I23">
        <v>231.15028293538199</v>
      </c>
      <c r="K23">
        <f>ABS(I23-D23)</f>
        <v>4.8788155753599938</v>
      </c>
      <c r="M23">
        <f>K23/D23</f>
        <v>2.0670398718393414E-2</v>
      </c>
      <c r="O23">
        <v>264.68857137602402</v>
      </c>
      <c r="Q23">
        <v>308.88131568577802</v>
      </c>
      <c r="S23">
        <f>D23-Q23</f>
        <v>-72.852217175036031</v>
      </c>
      <c r="U23">
        <v>229.78261869623</v>
      </c>
      <c r="W23">
        <f>ABS(U23-D23)/D23</f>
        <v>2.6464871721008164E-2</v>
      </c>
    </row>
    <row r="24" spans="1:23" x14ac:dyDescent="0.25">
      <c r="A24">
        <v>18</v>
      </c>
      <c r="B24">
        <v>20</v>
      </c>
      <c r="C24">
        <v>5</v>
      </c>
      <c r="D24">
        <v>249.06584167480401</v>
      </c>
      <c r="E24">
        <v>70.5005026955521</v>
      </c>
      <c r="I24">
        <v>242.41812005250401</v>
      </c>
      <c r="K24">
        <f>ABS(I24-D24)</f>
        <v>6.6477216222999971</v>
      </c>
      <c r="M24">
        <f>K24/D24</f>
        <v>2.669061954701793E-2</v>
      </c>
      <c r="O24">
        <v>327.13409772100999</v>
      </c>
      <c r="Q24">
        <v>308.71521584760501</v>
      </c>
      <c r="S24">
        <f>D24-Q24</f>
        <v>-59.649374172801004</v>
      </c>
      <c r="U24">
        <v>241.788196966524</v>
      </c>
      <c r="W24">
        <f>ABS(U24-D24)/D24</f>
        <v>2.9219762370233639E-2</v>
      </c>
    </row>
    <row r="25" spans="1:23" x14ac:dyDescent="0.25">
      <c r="A25">
        <v>18</v>
      </c>
      <c r="B25">
        <v>20</v>
      </c>
      <c r="C25">
        <v>6</v>
      </c>
      <c r="D25">
        <v>246.10470581054599</v>
      </c>
      <c r="E25">
        <v>77.361099920960001</v>
      </c>
      <c r="I25">
        <v>257.04752137805002</v>
      </c>
      <c r="K25">
        <f>ABS(I25-D25)</f>
        <v>10.942815567504027</v>
      </c>
      <c r="M25">
        <f>K25/D25</f>
        <v>4.4464064721817721E-2</v>
      </c>
      <c r="O25">
        <v>279.325888687168</v>
      </c>
      <c r="Q25">
        <v>308.52433739287198</v>
      </c>
      <c r="S25">
        <f>D25-Q25</f>
        <v>-62.419631582325991</v>
      </c>
      <c r="U25">
        <v>251.78728685280399</v>
      </c>
      <c r="W25">
        <f>ABS(U25-D25)/D25</f>
        <v>2.3090095020907503E-2</v>
      </c>
    </row>
    <row r="26" spans="1:23" x14ac:dyDescent="0.25">
      <c r="A26">
        <v>18</v>
      </c>
      <c r="B26">
        <v>25</v>
      </c>
      <c r="C26">
        <v>4</v>
      </c>
      <c r="D26">
        <v>227.90066528320301</v>
      </c>
      <c r="E26">
        <v>67.952851973959994</v>
      </c>
      <c r="I26">
        <v>228.22209353910301</v>
      </c>
      <c r="K26">
        <f>ABS(I26-D26)</f>
        <v>0.32142825590000257</v>
      </c>
      <c r="M26">
        <f>K26/D26</f>
        <v>1.4103875278318146E-3</v>
      </c>
      <c r="O26">
        <v>244.26441020297199</v>
      </c>
      <c r="Q26">
        <v>308.99468410174899</v>
      </c>
      <c r="S26">
        <f>D26-Q26</f>
        <v>-81.094018818545976</v>
      </c>
      <c r="U26">
        <v>231.614029704719</v>
      </c>
      <c r="W26">
        <f>ABS(U26-D26)/D26</f>
        <v>1.6293784912393923E-2</v>
      </c>
    </row>
    <row r="27" spans="1:23" x14ac:dyDescent="0.25">
      <c r="A27">
        <v>18</v>
      </c>
      <c r="B27">
        <v>25</v>
      </c>
      <c r="C27">
        <v>5</v>
      </c>
      <c r="D27">
        <v>242.34266662597599</v>
      </c>
      <c r="E27">
        <v>79.963282302257895</v>
      </c>
      <c r="I27">
        <v>242.29841504963599</v>
      </c>
      <c r="K27">
        <f>ABS(I27-D27)</f>
        <v>4.425157634000243E-2</v>
      </c>
      <c r="M27">
        <f>K27/D27</f>
        <v>1.8259919706297082E-4</v>
      </c>
      <c r="O27">
        <v>282.814886135623</v>
      </c>
      <c r="Q27">
        <v>308.88131568577802</v>
      </c>
      <c r="S27">
        <f>D27-Q27</f>
        <v>-66.538649059802026</v>
      </c>
      <c r="U27">
        <v>242.607701625544</v>
      </c>
      <c r="W27">
        <f>ABS(U27-D27)/D27</f>
        <v>1.093637382380744E-3</v>
      </c>
    </row>
    <row r="28" spans="1:23" x14ac:dyDescent="0.25">
      <c r="A28">
        <v>18</v>
      </c>
      <c r="B28">
        <v>25</v>
      </c>
      <c r="C28">
        <v>6</v>
      </c>
      <c r="D28">
        <v>251.39489746093699</v>
      </c>
      <c r="E28">
        <v>91.471265389996205</v>
      </c>
      <c r="I28">
        <v>256.62021109126698</v>
      </c>
      <c r="K28">
        <f>ABS(I28-D28)</f>
        <v>5.2253136303299925</v>
      </c>
      <c r="M28">
        <f>K28/D28</f>
        <v>2.07852811775622E-2</v>
      </c>
      <c r="O28">
        <v>326.78284966531601</v>
      </c>
      <c r="Q28">
        <v>308.750490994551</v>
      </c>
      <c r="S28">
        <f>D28-Q28</f>
        <v>-57.355593533614012</v>
      </c>
      <c r="U28">
        <v>251.39489335191499</v>
      </c>
      <c r="W28">
        <f>ABS(U28-D28)/D28</f>
        <v>1.6344890220033064E-8</v>
      </c>
    </row>
  </sheetData>
  <autoFilter ref="A1:W28" xr:uid="{F9BBDCDA-635D-443F-A0D2-D384AABABC50}">
    <sortState xmlns:xlrd2="http://schemas.microsoft.com/office/spreadsheetml/2017/richdata2" ref="A2:W28">
      <sortCondition ref="A1:A28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云辉</dc:creator>
  <cp:lastModifiedBy>云辉</cp:lastModifiedBy>
  <dcterms:created xsi:type="dcterms:W3CDTF">2026-05-09T02:41:12Z</dcterms:created>
  <dcterms:modified xsi:type="dcterms:W3CDTF">2026-06-26T05:12:51Z</dcterms:modified>
</cp:coreProperties>
</file>