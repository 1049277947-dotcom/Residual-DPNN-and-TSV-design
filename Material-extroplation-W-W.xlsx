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9DFA4FA0-4179-463A-A079-EF41E9B1ADB6}" xr6:coauthVersionLast="47" xr6:coauthVersionMax="47" xr10:uidLastSave="{00000000-0000-0000-0000-000000000000}"/>
  <bookViews>
    <workbookView xWindow="4116" yWindow="3624" windowWidth="23040" windowHeight="12120" xr2:uid="{908726EF-41C4-4A27-97C4-0E904646AFA0}"/>
  </bookViews>
  <sheets>
    <sheet name="Sheet1" sheetId="1" r:id="rId1"/>
  </sheets>
  <definedNames>
    <definedName name="_xlnm._FilterDatabase" localSheetId="0" hidden="1">Sheet1!$A$1:$O$28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" i="1"/>
  <c r="O10" i="1"/>
  <c r="O7" i="1"/>
  <c r="O3" i="1"/>
  <c r="O9" i="1"/>
  <c r="O13" i="1"/>
  <c r="O19" i="1"/>
  <c r="O6" i="1"/>
  <c r="O16" i="1"/>
  <c r="O22" i="1"/>
  <c r="O15" i="1"/>
  <c r="O28" i="1"/>
  <c r="O25" i="1"/>
  <c r="O12" i="1"/>
  <c r="O18" i="1"/>
  <c r="O2" i="1"/>
  <c r="O5" i="1"/>
  <c r="O8" i="1"/>
  <c r="O24" i="1"/>
  <c r="O11" i="1"/>
  <c r="O14" i="1"/>
  <c r="O17" i="1"/>
  <c r="O21" i="1"/>
  <c r="O27" i="1"/>
  <c r="O23" i="1"/>
  <c r="O20" i="1"/>
  <c r="O26" i="1"/>
  <c r="O4" i="1"/>
  <c r="H3" i="1"/>
  <c r="H2" i="1"/>
  <c r="H4" i="1"/>
  <c r="H11" i="1"/>
  <c r="H5" i="1"/>
  <c r="H17" i="1"/>
  <c r="H19" i="1"/>
  <c r="H7" i="1"/>
  <c r="H8" i="1"/>
  <c r="H16" i="1"/>
  <c r="H9" i="1"/>
  <c r="H20" i="1"/>
  <c r="H10" i="1"/>
  <c r="H22" i="1"/>
  <c r="H26" i="1"/>
  <c r="H28" i="1"/>
  <c r="H12" i="1"/>
  <c r="H13" i="1"/>
  <c r="H21" i="1"/>
  <c r="H14" i="1"/>
  <c r="H18" i="1"/>
  <c r="H15" i="1"/>
  <c r="H23" i="1"/>
  <c r="H24" i="1"/>
  <c r="H25" i="1"/>
  <c r="H27" i="1"/>
  <c r="H6" i="1"/>
</calcChain>
</file>

<file path=xl/sharedStrings.xml><?xml version="1.0" encoding="utf-8"?>
<sst xmlns="http://schemas.openxmlformats.org/spreadsheetml/2006/main" count="8" uniqueCount="8">
  <si>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</si>
  <si>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</si>
  <si>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</si>
  <si>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</si>
  <si>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max1</t>
    <phoneticPr fontId="1" type="noConversion"/>
  </si>
  <si>
    <t>max4</t>
    <phoneticPr fontId="1" type="noConversion"/>
  </si>
  <si>
    <t>鐞嗚Mises(MPa)</t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</si>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</sst>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S28"/>
  <sheetViews>
    <sheetView tabSelected="1" workbookViewId="0">
      <selection activeCell="S1" sqref="S1:S1048576"/>
    </sheetView>
  </sheetViews>
  <sheetFormatPr defaultRowHeight="13.8" x14ac:dyDescent="0.25"/>
  <cols>
    <col min="19" max="19" width="12.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J1" t="s">
        <v>5</v>
      </c>
      <c r="M1" t="s">
        <v>6</v>
      </c>
      <c r="Q1" t="s">
        <v>7</v>
      </c>
    </row>
    <row r="2" spans="1:19" x14ac:dyDescent="0.25">
      <c r="A2">
        <v>10</v>
      </c>
      <c r="B2">
        <v>15</v>
      </c>
      <c r="C2">
        <v>4</v>
      </c>
      <c r="D2">
        <v>149.19314575195301</v>
      </c>
      <c r="F2">
        <v>155.28616634829999</v>
      </c>
      <c r="H2">
        <f>ABS(F2-D2)</f>
        <v>6.0930205963469746</v>
      </c>
      <c r="J2">
        <v>155.76414376758299</v>
      </c>
      <c r="M2">
        <v>171.76489081541399</v>
      </c>
      <c r="O2">
        <f>D2-M2</f>
        <v>-22.57174506346098</v>
      </c>
      <c r="Q2">
        <v>149.19316003018901</v>
      </c>
      <c r="S2">
        <f>ABS(Q2-D2)/D2</f>
        <v>9.57030292676029E-8</v>
      </c>
    </row>
    <row r="3" spans="1:19" x14ac:dyDescent="0.25">
      <c r="A3">
        <v>10</v>
      </c>
      <c r="B3">
        <v>15</v>
      </c>
      <c r="C3">
        <v>5</v>
      </c>
      <c r="D3">
        <v>169.73141479492099</v>
      </c>
      <c r="F3">
        <v>167.32619318043601</v>
      </c>
      <c r="H3">
        <f>ABS(F3-D3)</f>
        <v>2.4052216144849865</v>
      </c>
      <c r="J3">
        <v>167.495736541463</v>
      </c>
      <c r="M3">
        <v>171.72556825248401</v>
      </c>
      <c r="O3">
        <f>D3-M3</f>
        <v>-1.9941534575630158</v>
      </c>
      <c r="Q3">
        <v>164.76369412022501</v>
      </c>
      <c r="S3">
        <f t="shared" ref="S3:S28" si="0">ABS(Q3-D3)/D3</f>
        <v>2.926812741588386E-2</v>
      </c>
    </row>
    <row r="4" spans="1:19" x14ac:dyDescent="0.25">
      <c r="A4">
        <v>10</v>
      </c>
      <c r="B4">
        <v>15</v>
      </c>
      <c r="C4">
        <v>6</v>
      </c>
      <c r="D4">
        <v>194.144439697265</v>
      </c>
      <c r="F4">
        <v>186.868578471463</v>
      </c>
      <c r="H4">
        <f>ABS(F4-D4)</f>
        <v>7.2758612258020037</v>
      </c>
      <c r="J4">
        <v>187.07756479369399</v>
      </c>
      <c r="M4">
        <v>171.67646453312599</v>
      </c>
      <c r="O4">
        <f>D4-M4</f>
        <v>22.467975164139006</v>
      </c>
      <c r="Q4">
        <v>188.778295502785</v>
      </c>
      <c r="S4">
        <f t="shared" si="0"/>
        <v>2.7639958181895824E-2</v>
      </c>
    </row>
    <row r="5" spans="1:19" x14ac:dyDescent="0.25">
      <c r="A5">
        <v>10</v>
      </c>
      <c r="B5">
        <v>20</v>
      </c>
      <c r="C5">
        <v>4</v>
      </c>
      <c r="D5">
        <v>149.09173583984301</v>
      </c>
      <c r="F5">
        <v>159.84624734313701</v>
      </c>
      <c r="H5">
        <f>ABS(F5-D5)</f>
        <v>10.754511503293998</v>
      </c>
      <c r="J5">
        <v>159.64568005818899</v>
      </c>
      <c r="M5">
        <v>171.794421683114</v>
      </c>
      <c r="O5">
        <f>D5-M5</f>
        <v>-22.702685843270984</v>
      </c>
      <c r="Q5">
        <v>151.69091819647801</v>
      </c>
      <c r="S5">
        <f t="shared" si="0"/>
        <v>1.7433443523838812E-2</v>
      </c>
    </row>
    <row r="6" spans="1:19" x14ac:dyDescent="0.25">
      <c r="A6">
        <v>10</v>
      </c>
      <c r="B6">
        <v>20</v>
      </c>
      <c r="C6">
        <v>5</v>
      </c>
      <c r="D6">
        <v>161.66149902343699</v>
      </c>
      <c r="F6">
        <v>167.359377523923</v>
      </c>
      <c r="H6">
        <f>ABS(F6-D6)</f>
        <v>5.6978785004860129</v>
      </c>
      <c r="J6">
        <v>167.56300056527999</v>
      </c>
      <c r="M6">
        <v>171.773189188701</v>
      </c>
      <c r="O6">
        <f>D6-M6</f>
        <v>-10.111690165264008</v>
      </c>
      <c r="Q6">
        <v>165.45667817051699</v>
      </c>
      <c r="S6">
        <f t="shared" si="0"/>
        <v>2.3476085338846184E-2</v>
      </c>
    </row>
    <row r="7" spans="1:19" x14ac:dyDescent="0.25">
      <c r="A7">
        <v>10</v>
      </c>
      <c r="B7">
        <v>20</v>
      </c>
      <c r="C7">
        <v>6</v>
      </c>
      <c r="D7">
        <v>187.00695800781199</v>
      </c>
      <c r="F7">
        <v>180.136065026757</v>
      </c>
      <c r="H7">
        <f>ABS(F7-D7)</f>
        <v>6.8708929810549932</v>
      </c>
      <c r="J7">
        <v>180.87284330942799</v>
      </c>
      <c r="M7">
        <v>171.746455534348</v>
      </c>
      <c r="O7">
        <f>D7-M7</f>
        <v>15.260502473463987</v>
      </c>
      <c r="Q7">
        <v>184.72718654817001</v>
      </c>
      <c r="S7">
        <f t="shared" si="0"/>
        <v>1.2190837624056445E-2</v>
      </c>
    </row>
    <row r="8" spans="1:19" x14ac:dyDescent="0.25">
      <c r="A8">
        <v>10</v>
      </c>
      <c r="B8">
        <v>25</v>
      </c>
      <c r="C8">
        <v>4</v>
      </c>
      <c r="D8">
        <v>149.05319213867099</v>
      </c>
      <c r="F8">
        <v>158.970086191523</v>
      </c>
      <c r="H8">
        <f>ABS(F8-D8)</f>
        <v>9.9168940528520011</v>
      </c>
      <c r="J8">
        <v>158.004114183631</v>
      </c>
      <c r="M8">
        <v>171.80749021582301</v>
      </c>
      <c r="O8">
        <f>D8-M8</f>
        <v>-22.754298077152015</v>
      </c>
      <c r="Q8">
        <v>152.079594900286</v>
      </c>
      <c r="S8">
        <f t="shared" si="0"/>
        <v>2.0304179455609393E-2</v>
      </c>
    </row>
    <row r="9" spans="1:19" x14ac:dyDescent="0.25">
      <c r="A9">
        <v>10</v>
      </c>
      <c r="B9">
        <v>25</v>
      </c>
      <c r="C9">
        <v>5</v>
      </c>
      <c r="D9">
        <v>169.538482666015</v>
      </c>
      <c r="F9">
        <v>174.10557935753801</v>
      </c>
      <c r="H9">
        <f>ABS(F9-D9)</f>
        <v>4.5670966915230053</v>
      </c>
      <c r="J9">
        <v>175.45943994525501</v>
      </c>
      <c r="M9">
        <v>171.794421683114</v>
      </c>
      <c r="O9">
        <f>D9-M9</f>
        <v>-2.2559390170989957</v>
      </c>
      <c r="Q9">
        <v>172.201442416795</v>
      </c>
      <c r="S9">
        <f t="shared" si="0"/>
        <v>1.5707110910187533E-2</v>
      </c>
    </row>
    <row r="10" spans="1:19" x14ac:dyDescent="0.25">
      <c r="A10">
        <v>10</v>
      </c>
      <c r="B10">
        <v>25</v>
      </c>
      <c r="C10">
        <v>6</v>
      </c>
      <c r="D10">
        <v>193.91026306152301</v>
      </c>
      <c r="F10">
        <v>188.83800719164699</v>
      </c>
      <c r="H10">
        <f>ABS(F10-D10)</f>
        <v>5.0722558698760167</v>
      </c>
      <c r="J10">
        <v>191.09327308226099</v>
      </c>
      <c r="M10">
        <v>171.77787451926099</v>
      </c>
      <c r="O10">
        <f>D10-M10</f>
        <v>22.132388542262021</v>
      </c>
      <c r="Q10">
        <v>193.91026658059101</v>
      </c>
      <c r="S10">
        <f t="shared" si="0"/>
        <v>1.8147920315165861E-8</v>
      </c>
    </row>
    <row r="11" spans="1:19" x14ac:dyDescent="0.25">
      <c r="A11">
        <v>14</v>
      </c>
      <c r="B11">
        <v>15</v>
      </c>
      <c r="C11">
        <v>4</v>
      </c>
      <c r="D11">
        <v>154.29306030273401</v>
      </c>
      <c r="F11">
        <v>155.01402952654101</v>
      </c>
      <c r="H11">
        <f>ABS(F11-D11)</f>
        <v>0.72096922380700335</v>
      </c>
      <c r="J11">
        <v>155.601577803103</v>
      </c>
      <c r="M11">
        <v>180.02663517041901</v>
      </c>
      <c r="O11">
        <f>D11-M11</f>
        <v>-25.733574867685007</v>
      </c>
      <c r="Q11">
        <v>154.293058918062</v>
      </c>
      <c r="S11">
        <f t="shared" si="0"/>
        <v>8.9742986561209098E-9</v>
      </c>
    </row>
    <row r="12" spans="1:19" x14ac:dyDescent="0.25">
      <c r="A12">
        <v>14</v>
      </c>
      <c r="B12">
        <v>15</v>
      </c>
      <c r="C12">
        <v>5</v>
      </c>
      <c r="D12">
        <v>158.55010986328099</v>
      </c>
      <c r="F12">
        <v>162.70732065723101</v>
      </c>
      <c r="H12">
        <f>ABS(F12-D12)</f>
        <v>4.1572107939500142</v>
      </c>
      <c r="J12">
        <v>164.23184038543999</v>
      </c>
      <c r="M12">
        <v>179.98623634977801</v>
      </c>
      <c r="O12">
        <f>D12-M12</f>
        <v>-21.436126486497017</v>
      </c>
      <c r="Q12">
        <v>163.32648755474801</v>
      </c>
      <c r="S12">
        <f t="shared" si="0"/>
        <v>3.0125350878569098E-2</v>
      </c>
    </row>
    <row r="13" spans="1:19" x14ac:dyDescent="0.25">
      <c r="A13">
        <v>14</v>
      </c>
      <c r="B13">
        <v>15</v>
      </c>
      <c r="C13">
        <v>6</v>
      </c>
      <c r="D13">
        <v>171.393142700195</v>
      </c>
      <c r="F13">
        <v>171.83181618086201</v>
      </c>
      <c r="H13">
        <f>ABS(F13-D13)</f>
        <v>0.43867348066700629</v>
      </c>
      <c r="J13">
        <v>172.83272490880199</v>
      </c>
      <c r="M13">
        <v>179.935686746421</v>
      </c>
      <c r="O13">
        <f>D13-M13</f>
        <v>-8.5425440462259985</v>
      </c>
      <c r="Q13">
        <v>172.207764203447</v>
      </c>
      <c r="S13">
        <f t="shared" si="0"/>
        <v>4.7529410478046631E-3</v>
      </c>
    </row>
    <row r="14" spans="1:19" x14ac:dyDescent="0.25">
      <c r="A14">
        <v>14</v>
      </c>
      <c r="B14">
        <v>20</v>
      </c>
      <c r="C14">
        <v>4</v>
      </c>
      <c r="D14">
        <v>154.20730590820301</v>
      </c>
      <c r="F14">
        <v>155.97857331831699</v>
      </c>
      <c r="H14">
        <f>ABS(F14-D14)</f>
        <v>1.7712674101139783</v>
      </c>
      <c r="J14">
        <v>156.45983610411599</v>
      </c>
      <c r="M14">
        <v>180.05688743747601</v>
      </c>
      <c r="O14">
        <f>D14-M14</f>
        <v>-25.849581529272996</v>
      </c>
      <c r="Q14">
        <v>155.809114310301</v>
      </c>
      <c r="S14">
        <f t="shared" si="0"/>
        <v>1.0387370382123895E-2</v>
      </c>
    </row>
    <row r="15" spans="1:19" x14ac:dyDescent="0.25">
      <c r="A15">
        <v>14</v>
      </c>
      <c r="B15">
        <v>20</v>
      </c>
      <c r="C15">
        <v>5</v>
      </c>
      <c r="D15">
        <v>162.47799682617099</v>
      </c>
      <c r="F15">
        <v>164.679354682959</v>
      </c>
      <c r="H15">
        <f>ABS(F15-D15)</f>
        <v>2.2013578567880074</v>
      </c>
      <c r="J15">
        <v>166.05473750567501</v>
      </c>
      <c r="M15">
        <v>180.03514635794099</v>
      </c>
      <c r="O15">
        <f>D15-M15</f>
        <v>-17.557149531769994</v>
      </c>
      <c r="Q15">
        <v>163.96232365195101</v>
      </c>
      <c r="S15">
        <f t="shared" si="0"/>
        <v>9.1355559200304564E-3</v>
      </c>
    </row>
    <row r="16" spans="1:19" x14ac:dyDescent="0.25">
      <c r="A16">
        <v>14</v>
      </c>
      <c r="B16">
        <v>20</v>
      </c>
      <c r="C16">
        <v>6</v>
      </c>
      <c r="D16">
        <v>166.71957397460901</v>
      </c>
      <c r="F16">
        <v>173.83227373537201</v>
      </c>
      <c r="H16">
        <f>ABS(F16-D16)</f>
        <v>7.1126997607630074</v>
      </c>
      <c r="J16">
        <v>173.03727215530799</v>
      </c>
      <c r="M16">
        <v>180.0077072654</v>
      </c>
      <c r="O16">
        <f>D16-M16</f>
        <v>-13.288133290790995</v>
      </c>
      <c r="Q16">
        <v>172.22564891123201</v>
      </c>
      <c r="S16">
        <f t="shared" si="0"/>
        <v>3.3025965730104197E-2</v>
      </c>
    </row>
    <row r="17" spans="1:19" x14ac:dyDescent="0.25">
      <c r="A17">
        <v>14</v>
      </c>
      <c r="B17">
        <v>25</v>
      </c>
      <c r="C17">
        <v>4</v>
      </c>
      <c r="D17">
        <v>153.99037170410099</v>
      </c>
      <c r="F17">
        <v>151.50973836962501</v>
      </c>
      <c r="H17">
        <f>ABS(F17-D17)</f>
        <v>2.4806333344759821</v>
      </c>
      <c r="J17">
        <v>152.38513318820401</v>
      </c>
      <c r="M17">
        <v>180.07022913521499</v>
      </c>
      <c r="O17">
        <f>D17-M17</f>
        <v>-26.079857431113993</v>
      </c>
      <c r="Q17">
        <v>153.681250531129</v>
      </c>
      <c r="S17">
        <f t="shared" si="0"/>
        <v>2.0074058498020129E-3</v>
      </c>
    </row>
    <row r="18" spans="1:19" x14ac:dyDescent="0.25">
      <c r="A18">
        <v>14</v>
      </c>
      <c r="B18">
        <v>25</v>
      </c>
      <c r="C18">
        <v>5</v>
      </c>
      <c r="D18">
        <v>158.367416381835</v>
      </c>
      <c r="F18">
        <v>160.533887066924</v>
      </c>
      <c r="H18">
        <f>ABS(F18-D18)</f>
        <v>2.1664706850889957</v>
      </c>
      <c r="J18">
        <v>161.191099735573</v>
      </c>
      <c r="M18">
        <v>180.05688743747601</v>
      </c>
      <c r="O18">
        <f>D18-M18</f>
        <v>-21.689471055641008</v>
      </c>
      <c r="Q18">
        <v>161.197617120432</v>
      </c>
      <c r="S18">
        <f t="shared" si="0"/>
        <v>1.7871105074879712E-2</v>
      </c>
    </row>
    <row r="19" spans="1:19" x14ac:dyDescent="0.25">
      <c r="A19">
        <v>14</v>
      </c>
      <c r="B19">
        <v>25</v>
      </c>
      <c r="C19">
        <v>6</v>
      </c>
      <c r="D19">
        <v>171.16374206542901</v>
      </c>
      <c r="F19">
        <v>169.53333757921001</v>
      </c>
      <c r="H19">
        <f>ABS(F19-D19)</f>
        <v>1.6304044862189926</v>
      </c>
      <c r="J19">
        <v>171.23903967334701</v>
      </c>
      <c r="M19">
        <v>180.03994883785799</v>
      </c>
      <c r="O19">
        <f>D19-M19</f>
        <v>-8.8762067724289864</v>
      </c>
      <c r="Q19">
        <v>171.16374292615001</v>
      </c>
      <c r="S19">
        <f t="shared" si="0"/>
        <v>5.0286409472063129E-9</v>
      </c>
    </row>
    <row r="20" spans="1:19" x14ac:dyDescent="0.25">
      <c r="A20">
        <v>18</v>
      </c>
      <c r="B20">
        <v>15</v>
      </c>
      <c r="C20">
        <v>4</v>
      </c>
      <c r="D20">
        <v>153.115478515625</v>
      </c>
      <c r="F20">
        <v>152.76234414887799</v>
      </c>
      <c r="H20">
        <f>ABS(F20-D20)</f>
        <v>0.35313436674701393</v>
      </c>
      <c r="J20">
        <v>153.99716217678699</v>
      </c>
      <c r="M20">
        <v>189.626952910098</v>
      </c>
      <c r="O20">
        <f>D20-M20</f>
        <v>-36.511474394472998</v>
      </c>
      <c r="Q20">
        <v>153.115460644211</v>
      </c>
      <c r="S20">
        <f t="shared" si="0"/>
        <v>1.1671853280449537E-7</v>
      </c>
    </row>
    <row r="21" spans="1:19" x14ac:dyDescent="0.25">
      <c r="A21">
        <v>18</v>
      </c>
      <c r="B21">
        <v>15</v>
      </c>
      <c r="C21">
        <v>5</v>
      </c>
      <c r="D21">
        <v>163.276931762695</v>
      </c>
      <c r="F21">
        <v>160.150413347464</v>
      </c>
      <c r="H21">
        <f>ABS(F21-D21)</f>
        <v>3.1265184152310042</v>
      </c>
      <c r="J21">
        <v>162.32864333342701</v>
      </c>
      <c r="M21">
        <v>189.58852192302399</v>
      </c>
      <c r="O21">
        <f>D21-M21</f>
        <v>-26.31159016032899</v>
      </c>
      <c r="Q21">
        <v>162.763749040004</v>
      </c>
      <c r="S21">
        <f t="shared" si="0"/>
        <v>3.1430203712846192E-3</v>
      </c>
    </row>
    <row r="22" spans="1:19" x14ac:dyDescent="0.25">
      <c r="A22">
        <v>18</v>
      </c>
      <c r="B22">
        <v>15</v>
      </c>
      <c r="C22">
        <v>6</v>
      </c>
      <c r="D22">
        <v>172.365631103515</v>
      </c>
      <c r="F22">
        <v>168.92232001514299</v>
      </c>
      <c r="H22">
        <f>ABS(F22-D22)</f>
        <v>3.4433110883720133</v>
      </c>
      <c r="J22">
        <v>171.12325627031601</v>
      </c>
      <c r="M22">
        <v>189.53990946641801</v>
      </c>
      <c r="O22">
        <f>D22-M22</f>
        <v>-17.17427836290301</v>
      </c>
      <c r="Q22">
        <v>172.157508358206</v>
      </c>
      <c r="S22">
        <f t="shared" si="0"/>
        <v>1.20744921117139E-3</v>
      </c>
    </row>
    <row r="23" spans="1:19" x14ac:dyDescent="0.25">
      <c r="A23">
        <v>18</v>
      </c>
      <c r="B23">
        <v>20</v>
      </c>
      <c r="C23">
        <v>4</v>
      </c>
      <c r="D23">
        <v>156.234283447265</v>
      </c>
      <c r="F23">
        <v>157.683924815659</v>
      </c>
      <c r="H23">
        <f>ABS(F23-D23)</f>
        <v>1.4496413683939977</v>
      </c>
      <c r="J23">
        <v>157.28697349061099</v>
      </c>
      <c r="M23">
        <v>189.65528401260499</v>
      </c>
      <c r="O23">
        <f>D23-M23</f>
        <v>-33.421000565339995</v>
      </c>
      <c r="Q23">
        <v>155.07087723228901</v>
      </c>
      <c r="S23">
        <f t="shared" si="0"/>
        <v>7.4465487939379613E-3</v>
      </c>
    </row>
    <row r="24" spans="1:19" x14ac:dyDescent="0.25">
      <c r="A24">
        <v>18</v>
      </c>
      <c r="B24">
        <v>20</v>
      </c>
      <c r="C24">
        <v>5</v>
      </c>
      <c r="D24">
        <v>165.89984130859301</v>
      </c>
      <c r="F24">
        <v>164.24357513437101</v>
      </c>
      <c r="H24">
        <f>ABS(F24-D24)</f>
        <v>1.6562661742219973</v>
      </c>
      <c r="J24">
        <v>164.59647558890001</v>
      </c>
      <c r="M24">
        <v>189.634975769703</v>
      </c>
      <c r="O24">
        <f>D24-M24</f>
        <v>-23.735134461109993</v>
      </c>
      <c r="Q24">
        <v>163.92339288043499</v>
      </c>
      <c r="S24">
        <f t="shared" si="0"/>
        <v>1.1913504030914642E-2</v>
      </c>
    </row>
    <row r="25" spans="1:19" x14ac:dyDescent="0.25">
      <c r="A25">
        <v>18</v>
      </c>
      <c r="B25">
        <v>20</v>
      </c>
      <c r="C25">
        <v>6</v>
      </c>
      <c r="D25">
        <v>169.30973815917901</v>
      </c>
      <c r="F25">
        <v>169.41592592913599</v>
      </c>
      <c r="H25">
        <f>ABS(F25-D25)</f>
        <v>0.10618776995698909</v>
      </c>
      <c r="J25">
        <v>170.246566196468</v>
      </c>
      <c r="M25">
        <v>189.60900855775901</v>
      </c>
      <c r="O25">
        <f>D25-M25</f>
        <v>-20.299270398580006</v>
      </c>
      <c r="Q25">
        <v>171.747951798483</v>
      </c>
      <c r="S25">
        <f t="shared" si="0"/>
        <v>1.440090608971159E-2</v>
      </c>
    </row>
    <row r="26" spans="1:19" x14ac:dyDescent="0.25">
      <c r="A26">
        <v>18</v>
      </c>
      <c r="B26">
        <v>25</v>
      </c>
      <c r="C26">
        <v>4</v>
      </c>
      <c r="D26">
        <v>152.69377136230401</v>
      </c>
      <c r="F26">
        <v>154.28406524848</v>
      </c>
      <c r="H26">
        <f>ABS(F26-D26)</f>
        <v>1.5902938861759992</v>
      </c>
      <c r="J26">
        <v>155.31820861158999</v>
      </c>
      <c r="M26">
        <v>189.667540310802</v>
      </c>
      <c r="O26">
        <f>D26-M26</f>
        <v>-36.973768948497991</v>
      </c>
      <c r="Q26">
        <v>153.55434095323201</v>
      </c>
      <c r="S26">
        <f t="shared" si="0"/>
        <v>5.6359181075310068E-3</v>
      </c>
    </row>
    <row r="27" spans="1:19" x14ac:dyDescent="0.25">
      <c r="A27">
        <v>18</v>
      </c>
      <c r="B27">
        <v>25</v>
      </c>
      <c r="C27">
        <v>5</v>
      </c>
      <c r="D27">
        <v>162.861572265625</v>
      </c>
      <c r="F27">
        <v>162.331594375159</v>
      </c>
      <c r="H27">
        <f>ABS(F27-D27)</f>
        <v>0.52997789046600019</v>
      </c>
      <c r="J27">
        <v>163.91518901436899</v>
      </c>
      <c r="M27">
        <v>189.65528401260599</v>
      </c>
      <c r="O27">
        <f>D27-M27</f>
        <v>-26.793711746980989</v>
      </c>
      <c r="Q27">
        <v>163.089897232271</v>
      </c>
      <c r="S27">
        <f t="shared" si="0"/>
        <v>1.4019572786243555E-3</v>
      </c>
    </row>
    <row r="28" spans="1:19" x14ac:dyDescent="0.25">
      <c r="A28">
        <v>18</v>
      </c>
      <c r="B28">
        <v>25</v>
      </c>
      <c r="C28">
        <v>6</v>
      </c>
      <c r="D28">
        <v>171.961822509765</v>
      </c>
      <c r="F28">
        <v>170.32623393519</v>
      </c>
      <c r="H28">
        <f>ABS(F28-D28)</f>
        <v>1.6355885745749958</v>
      </c>
      <c r="J28">
        <v>171.77717447609101</v>
      </c>
      <c r="M28">
        <v>189.63948718584001</v>
      </c>
      <c r="O28">
        <f>D28-M28</f>
        <v>-17.677664676075011</v>
      </c>
      <c r="Q28">
        <v>171.96181598497699</v>
      </c>
      <c r="S28">
        <f t="shared" si="0"/>
        <v>3.7943235950060943E-8</v>
      </c>
    </row>
  </sheetData>
  <autoFilter ref="A1:O28" xr:uid="{F9BBDCDA-635D-443F-A0D2-D384AABABC50}">
    <sortState xmlns:xlrd2="http://schemas.microsoft.com/office/spreadsheetml/2017/richdata2" ref="A2:O28">
      <sortCondition ref="A1:A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2026-06-26T05:13:13Z</dcterms:modified>
</cp:coreProperties>
</file>